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2"/>
  <workbookPr/>
  <mc:AlternateContent xmlns:mc="http://schemas.openxmlformats.org/markup-compatibility/2006">
    <mc:Choice Requires="x15">
      <x15ac:absPath xmlns:x15ac="http://schemas.microsoft.com/office/spreadsheetml/2010/11/ac" url="/Users/masaboe/ownCloud/materi/2026/ML/Minggu-5-6/"/>
    </mc:Choice>
  </mc:AlternateContent>
  <xr:revisionPtr revIDLastSave="0" documentId="13_ncr:1_{B0ABDAFC-60A5-5D42-9158-92DAC4502FFF}" xr6:coauthVersionLast="47" xr6:coauthVersionMax="47" xr10:uidLastSave="{00000000-0000-0000-0000-000000000000}"/>
  <bookViews>
    <workbookView xWindow="0" yWindow="660" windowWidth="30240" windowHeight="18980" activeTab="2" xr2:uid="{00000000-000D-0000-FFFF-FFFF00000000}"/>
  </bookViews>
  <sheets>
    <sheet name="Data Main Tenis" sheetId="2" r:id="rId1"/>
    <sheet name="Data Main Golf" sheetId="3" r:id="rId2"/>
    <sheet name="Hitung Entropy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" i="1" l="1"/>
  <c r="U6" i="1"/>
  <c r="U10" i="1"/>
  <c r="U11" i="1"/>
  <c r="U13" i="1"/>
  <c r="U14" i="1"/>
  <c r="U3" i="1"/>
  <c r="V8" i="1" l="1"/>
  <c r="V12" i="1"/>
  <c r="V4" i="1"/>
  <c r="M10" i="1"/>
  <c r="M11" i="1"/>
  <c r="M13" i="1"/>
  <c r="M16" i="1"/>
  <c r="M17" i="1"/>
  <c r="M7" i="1"/>
  <c r="M6" i="1"/>
  <c r="M3" i="1"/>
  <c r="N12" i="1" l="1"/>
  <c r="N8" i="1"/>
  <c r="N15" i="1"/>
</calcChain>
</file>

<file path=xl/sharedStrings.xml><?xml version="1.0" encoding="utf-8"?>
<sst xmlns="http://schemas.openxmlformats.org/spreadsheetml/2006/main" count="231" uniqueCount="43">
  <si>
    <t>sunny</t>
  </si>
  <si>
    <t>Cloudy</t>
  </si>
  <si>
    <t>Rainy</t>
  </si>
  <si>
    <t>hot</t>
  </si>
  <si>
    <t>mild</t>
  </si>
  <si>
    <t>cool</t>
  </si>
  <si>
    <t>high</t>
  </si>
  <si>
    <t>normal</t>
  </si>
  <si>
    <t>no</t>
  </si>
  <si>
    <t>yes</t>
  </si>
  <si>
    <t>outlook</t>
  </si>
  <si>
    <t>temp</t>
  </si>
  <si>
    <t>humidity</t>
  </si>
  <si>
    <t>windy</t>
  </si>
  <si>
    <t>play</t>
  </si>
  <si>
    <t>total</t>
  </si>
  <si>
    <t>cloudy</t>
  </si>
  <si>
    <t>rainy</t>
  </si>
  <si>
    <t>col</t>
  </si>
  <si>
    <t>jml kasus(S)</t>
  </si>
  <si>
    <t>Entropy</t>
  </si>
  <si>
    <t>Gain</t>
  </si>
  <si>
    <t>Tidak (S1)</t>
  </si>
  <si>
    <t>Ya (S2)</t>
  </si>
  <si>
    <t>tabel perhitungan node 1</t>
  </si>
  <si>
    <t>tabel perhitungan node 1.1</t>
  </si>
  <si>
    <t>Humidity High</t>
  </si>
  <si>
    <t>No</t>
  </si>
  <si>
    <t>tabel perhitungan node 1.1.2</t>
  </si>
  <si>
    <t>Humidity High and Outlook Rainy</t>
  </si>
  <si>
    <t>Node 1.1.2</t>
  </si>
  <si>
    <t>overcast</t>
  </si>
  <si>
    <t>rain</t>
  </si>
  <si>
    <t>Outlook</t>
  </si>
  <si>
    <t>Temperature</t>
  </si>
  <si>
    <t>Humidity</t>
  </si>
  <si>
    <t>Wind</t>
  </si>
  <si>
    <t>Play</t>
  </si>
  <si>
    <t>Yes</t>
  </si>
  <si>
    <t>High</t>
  </si>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</sst>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0" borderId="10" xfId="0" applyFont="1" applyBorder="1" applyAlignment="1">
      <alignment vertical="center" wrapText="1"/>
    </xf>
    <xf numFmtId="0" fontId="1" fillId="0" borderId="2" xfId="0" applyFont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1" xfId="0" applyFill="1" applyBorder="1"/>
    <xf numFmtId="0" fontId="0" fillId="2" borderId="1" xfId="0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0" fillId="4" borderId="12" xfId="0" applyFill="1" applyBorder="1" applyAlignment="1">
      <alignment horizontal="center" vertical="center" wrapText="1"/>
    </xf>
    <xf numFmtId="0" fontId="0" fillId="4" borderId="13" xfId="0" applyFill="1" applyBorder="1" applyAlignment="1">
      <alignment horizontal="center" vertical="center" wrapText="1"/>
    </xf>
    <xf numFmtId="0" fontId="0" fillId="4" borderId="1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16"/>
  <sheetViews>
    <sheetView zoomScale="160" zoomScaleNormal="160" workbookViewId="0">
      <selection activeCell="C1" sqref="C1"/>
    </sheetView>
  </sheetViews>
  <sheetFormatPr baseColWidth="10" defaultColWidth="8.83203125" defaultRowHeight="15" x14ac:dyDescent="0.2"/>
  <sheetData>
    <row r="2" spans="2:7" x14ac:dyDescent="0.2">
      <c r="B2" s="1" t="s">
        <v>27</v>
      </c>
      <c r="C2" s="1" t="s">
        <v>10</v>
      </c>
      <c r="D2" s="1" t="s">
        <v>11</v>
      </c>
      <c r="E2" s="1" t="s">
        <v>12</v>
      </c>
      <c r="F2" s="1" t="s">
        <v>13</v>
      </c>
      <c r="G2" s="2" t="s">
        <v>14</v>
      </c>
    </row>
    <row r="3" spans="2:7" x14ac:dyDescent="0.2">
      <c r="B3" s="1">
        <v>1</v>
      </c>
      <c r="C3" s="3" t="s">
        <v>0</v>
      </c>
      <c r="D3" s="3" t="s">
        <v>3</v>
      </c>
      <c r="E3" s="3" t="s">
        <v>6</v>
      </c>
      <c r="F3" s="3" t="s">
        <v>8</v>
      </c>
      <c r="G3" s="3" t="s">
        <v>8</v>
      </c>
    </row>
    <row r="4" spans="2:7" x14ac:dyDescent="0.2">
      <c r="B4" s="1">
        <v>2</v>
      </c>
      <c r="C4" s="3" t="s">
        <v>0</v>
      </c>
      <c r="D4" s="3" t="s">
        <v>3</v>
      </c>
      <c r="E4" s="3" t="s">
        <v>6</v>
      </c>
      <c r="F4" s="3" t="s">
        <v>9</v>
      </c>
      <c r="G4" s="3" t="s">
        <v>8</v>
      </c>
    </row>
    <row r="5" spans="2:7" x14ac:dyDescent="0.2">
      <c r="B5" s="1">
        <v>3</v>
      </c>
      <c r="C5" s="3" t="s">
        <v>1</v>
      </c>
      <c r="D5" s="3" t="s">
        <v>3</v>
      </c>
      <c r="E5" s="3" t="s">
        <v>6</v>
      </c>
      <c r="F5" s="3" t="s">
        <v>8</v>
      </c>
      <c r="G5" s="3" t="s">
        <v>9</v>
      </c>
    </row>
    <row r="6" spans="2:7" x14ac:dyDescent="0.2">
      <c r="B6" s="1">
        <v>4</v>
      </c>
      <c r="C6" s="3" t="s">
        <v>2</v>
      </c>
      <c r="D6" s="3" t="s">
        <v>4</v>
      </c>
      <c r="E6" s="3" t="s">
        <v>6</v>
      </c>
      <c r="F6" s="3" t="s">
        <v>8</v>
      </c>
      <c r="G6" s="3" t="s">
        <v>9</v>
      </c>
    </row>
    <row r="7" spans="2:7" x14ac:dyDescent="0.2">
      <c r="B7" s="1">
        <v>5</v>
      </c>
      <c r="C7" s="3" t="s">
        <v>2</v>
      </c>
      <c r="D7" s="3" t="s">
        <v>5</v>
      </c>
      <c r="E7" s="3" t="s">
        <v>7</v>
      </c>
      <c r="F7" s="3" t="s">
        <v>8</v>
      </c>
      <c r="G7" s="3" t="s">
        <v>9</v>
      </c>
    </row>
    <row r="8" spans="2:7" x14ac:dyDescent="0.2">
      <c r="B8" s="1">
        <v>6</v>
      </c>
      <c r="C8" s="3" t="s">
        <v>2</v>
      </c>
      <c r="D8" s="3" t="s">
        <v>5</v>
      </c>
      <c r="E8" s="3" t="s">
        <v>7</v>
      </c>
      <c r="F8" s="3" t="s">
        <v>9</v>
      </c>
      <c r="G8" s="3" t="s">
        <v>9</v>
      </c>
    </row>
    <row r="9" spans="2:7" x14ac:dyDescent="0.2">
      <c r="B9" s="1">
        <v>7</v>
      </c>
      <c r="C9" s="3" t="s">
        <v>1</v>
      </c>
      <c r="D9" s="3" t="s">
        <v>5</v>
      </c>
      <c r="E9" s="3" t="s">
        <v>7</v>
      </c>
      <c r="F9" s="3" t="s">
        <v>9</v>
      </c>
      <c r="G9" s="3" t="s">
        <v>9</v>
      </c>
    </row>
    <row r="10" spans="2:7" x14ac:dyDescent="0.2">
      <c r="B10" s="1">
        <v>8</v>
      </c>
      <c r="C10" s="3" t="s">
        <v>0</v>
      </c>
      <c r="D10" s="3" t="s">
        <v>4</v>
      </c>
      <c r="E10" s="3" t="s">
        <v>6</v>
      </c>
      <c r="F10" s="3" t="s">
        <v>8</v>
      </c>
      <c r="G10" s="3" t="s">
        <v>8</v>
      </c>
    </row>
    <row r="11" spans="2:7" x14ac:dyDescent="0.2">
      <c r="B11" s="1">
        <v>9</v>
      </c>
      <c r="C11" s="3" t="s">
        <v>0</v>
      </c>
      <c r="D11" s="3" t="s">
        <v>5</v>
      </c>
      <c r="E11" s="3" t="s">
        <v>7</v>
      </c>
      <c r="F11" s="3" t="s">
        <v>8</v>
      </c>
      <c r="G11" s="3" t="s">
        <v>9</v>
      </c>
    </row>
    <row r="12" spans="2:7" x14ac:dyDescent="0.2">
      <c r="B12" s="1">
        <v>10</v>
      </c>
      <c r="C12" s="3" t="s">
        <v>2</v>
      </c>
      <c r="D12" s="3" t="s">
        <v>4</v>
      </c>
      <c r="E12" s="3" t="s">
        <v>7</v>
      </c>
      <c r="F12" s="3" t="s">
        <v>8</v>
      </c>
      <c r="G12" s="3" t="s">
        <v>9</v>
      </c>
    </row>
    <row r="13" spans="2:7" x14ac:dyDescent="0.2">
      <c r="B13" s="1">
        <v>11</v>
      </c>
      <c r="C13" s="3" t="s">
        <v>0</v>
      </c>
      <c r="D13" s="3" t="s">
        <v>4</v>
      </c>
      <c r="E13" s="3" t="s">
        <v>7</v>
      </c>
      <c r="F13" s="3" t="s">
        <v>9</v>
      </c>
      <c r="G13" s="3" t="s">
        <v>9</v>
      </c>
    </row>
    <row r="14" spans="2:7" x14ac:dyDescent="0.2">
      <c r="B14" s="1">
        <v>12</v>
      </c>
      <c r="C14" s="3" t="s">
        <v>1</v>
      </c>
      <c r="D14" s="3" t="s">
        <v>4</v>
      </c>
      <c r="E14" s="3" t="s">
        <v>6</v>
      </c>
      <c r="F14" s="3" t="s">
        <v>9</v>
      </c>
      <c r="G14" s="3" t="s">
        <v>9</v>
      </c>
    </row>
    <row r="15" spans="2:7" x14ac:dyDescent="0.2">
      <c r="B15" s="1">
        <v>13</v>
      </c>
      <c r="C15" s="3" t="s">
        <v>1</v>
      </c>
      <c r="D15" s="3" t="s">
        <v>3</v>
      </c>
      <c r="E15" s="3" t="s">
        <v>7</v>
      </c>
      <c r="F15" s="3" t="s">
        <v>8</v>
      </c>
      <c r="G15" s="3" t="s">
        <v>9</v>
      </c>
    </row>
    <row r="16" spans="2:7" x14ac:dyDescent="0.2">
      <c r="B16" s="1">
        <v>14</v>
      </c>
      <c r="C16" s="3" t="s">
        <v>2</v>
      </c>
      <c r="D16" s="3" t="s">
        <v>4</v>
      </c>
      <c r="E16" s="3" t="s">
        <v>6</v>
      </c>
      <c r="F16" s="3" t="s">
        <v>9</v>
      </c>
      <c r="G16" s="3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16"/>
  <sheetViews>
    <sheetView zoomScale="145" zoomScaleNormal="145" workbookViewId="0">
      <selection activeCell="K15" sqref="K15"/>
    </sheetView>
  </sheetViews>
  <sheetFormatPr baseColWidth="10" defaultColWidth="8.83203125" defaultRowHeight="15" x14ac:dyDescent="0.2"/>
  <cols>
    <col min="2" max="2" width="3.5" bestFit="1" customWidth="1"/>
    <col min="3" max="3" width="8.5" bestFit="1" customWidth="1"/>
    <col min="4" max="4" width="12.5" bestFit="1" customWidth="1"/>
    <col min="6" max="6" width="8.5" customWidth="1"/>
    <col min="7" max="7" width="7.1640625" customWidth="1"/>
  </cols>
  <sheetData>
    <row r="2" spans="2:7" x14ac:dyDescent="0.2">
      <c r="B2" s="1" t="s">
        <v>27</v>
      </c>
      <c r="C2" s="1" t="s">
        <v>33</v>
      </c>
      <c r="D2" s="1" t="s">
        <v>34</v>
      </c>
      <c r="E2" s="1" t="s">
        <v>35</v>
      </c>
      <c r="F2" s="1" t="s">
        <v>36</v>
      </c>
      <c r="G2" s="1" t="s">
        <v>37</v>
      </c>
    </row>
    <row r="3" spans="2:7" ht="16" x14ac:dyDescent="0.2">
      <c r="B3" s="29">
        <v>1</v>
      </c>
      <c r="C3" s="30" t="s">
        <v>0</v>
      </c>
      <c r="D3" s="30">
        <v>85</v>
      </c>
      <c r="E3" s="30">
        <v>85</v>
      </c>
      <c r="F3" s="30" t="b">
        <v>0</v>
      </c>
      <c r="G3" s="30" t="s">
        <v>9</v>
      </c>
    </row>
    <row r="4" spans="2:7" ht="16" x14ac:dyDescent="0.2">
      <c r="B4" s="29">
        <v>2</v>
      </c>
      <c r="C4" s="30" t="s">
        <v>31</v>
      </c>
      <c r="D4" s="30">
        <v>80</v>
      </c>
      <c r="E4" s="30">
        <v>90</v>
      </c>
      <c r="F4" s="30" t="b">
        <v>1</v>
      </c>
      <c r="G4" s="30" t="s">
        <v>8</v>
      </c>
    </row>
    <row r="5" spans="2:7" ht="16" x14ac:dyDescent="0.2">
      <c r="B5" s="29">
        <v>3</v>
      </c>
      <c r="C5" s="30" t="s">
        <v>31</v>
      </c>
      <c r="D5" s="30">
        <v>83</v>
      </c>
      <c r="E5" s="30">
        <v>78</v>
      </c>
      <c r="F5" s="30" t="b">
        <v>0</v>
      </c>
      <c r="G5" s="30" t="s">
        <v>9</v>
      </c>
    </row>
    <row r="6" spans="2:7" ht="16" x14ac:dyDescent="0.2">
      <c r="B6" s="29">
        <v>4</v>
      </c>
      <c r="C6" s="30" t="s">
        <v>32</v>
      </c>
      <c r="D6" s="30">
        <v>70</v>
      </c>
      <c r="E6" s="30">
        <v>96</v>
      </c>
      <c r="F6" s="30" t="b">
        <v>0</v>
      </c>
      <c r="G6" s="30" t="s">
        <v>9</v>
      </c>
    </row>
    <row r="7" spans="2:7" ht="16" x14ac:dyDescent="0.2">
      <c r="B7" s="29">
        <v>5</v>
      </c>
      <c r="C7" s="30" t="s">
        <v>32</v>
      </c>
      <c r="D7" s="30">
        <v>68</v>
      </c>
      <c r="E7" s="30">
        <v>80</v>
      </c>
      <c r="F7" s="30" t="b">
        <v>1</v>
      </c>
      <c r="G7" s="30" t="s">
        <v>9</v>
      </c>
    </row>
    <row r="8" spans="2:7" ht="16" x14ac:dyDescent="0.2">
      <c r="B8" s="29">
        <v>6</v>
      </c>
      <c r="C8" s="30" t="s">
        <v>32</v>
      </c>
      <c r="D8" s="30">
        <v>65</v>
      </c>
      <c r="E8" s="30">
        <v>70</v>
      </c>
      <c r="F8" s="30" t="b">
        <v>1</v>
      </c>
      <c r="G8" s="30" t="s">
        <v>8</v>
      </c>
    </row>
    <row r="9" spans="2:7" ht="16" x14ac:dyDescent="0.2">
      <c r="B9" s="29">
        <v>7</v>
      </c>
      <c r="C9" s="30" t="s">
        <v>31</v>
      </c>
      <c r="D9" s="30">
        <v>64</v>
      </c>
      <c r="E9" s="30">
        <v>65</v>
      </c>
      <c r="F9" s="30" t="b">
        <v>1</v>
      </c>
      <c r="G9" s="30" t="s">
        <v>9</v>
      </c>
    </row>
    <row r="10" spans="2:7" ht="16" x14ac:dyDescent="0.2">
      <c r="B10" s="29">
        <v>8</v>
      </c>
      <c r="C10" s="30" t="s">
        <v>0</v>
      </c>
      <c r="D10" s="30">
        <v>72</v>
      </c>
      <c r="E10" s="30">
        <v>95</v>
      </c>
      <c r="F10" s="30" t="b">
        <v>0</v>
      </c>
      <c r="G10" s="30" t="s">
        <v>8</v>
      </c>
    </row>
    <row r="11" spans="2:7" ht="16" x14ac:dyDescent="0.2">
      <c r="B11" s="29">
        <v>9</v>
      </c>
      <c r="C11" s="30" t="s">
        <v>0</v>
      </c>
      <c r="D11" s="30">
        <v>69</v>
      </c>
      <c r="E11" s="30">
        <v>70</v>
      </c>
      <c r="F11" s="30" t="b">
        <v>0</v>
      </c>
      <c r="G11" s="30" t="s">
        <v>9</v>
      </c>
    </row>
    <row r="12" spans="2:7" ht="16" x14ac:dyDescent="0.2">
      <c r="B12" s="29">
        <v>10</v>
      </c>
      <c r="C12" s="30" t="s">
        <v>0</v>
      </c>
      <c r="D12" s="30">
        <v>75</v>
      </c>
      <c r="E12" s="30">
        <v>80</v>
      </c>
      <c r="F12" s="30" t="b">
        <v>0</v>
      </c>
      <c r="G12" s="30" t="s">
        <v>8</v>
      </c>
    </row>
    <row r="13" spans="2:7" ht="16" x14ac:dyDescent="0.2">
      <c r="B13" s="29">
        <v>11</v>
      </c>
      <c r="C13" s="30" t="s">
        <v>0</v>
      </c>
      <c r="D13" s="30">
        <v>68</v>
      </c>
      <c r="E13" s="30">
        <v>70</v>
      </c>
      <c r="F13" s="30" t="b">
        <v>1</v>
      </c>
      <c r="G13" s="30" t="s">
        <v>9</v>
      </c>
    </row>
    <row r="14" spans="2:7" ht="16" x14ac:dyDescent="0.2">
      <c r="B14" s="29">
        <v>12</v>
      </c>
      <c r="C14" s="30" t="s">
        <v>31</v>
      </c>
      <c r="D14" s="30">
        <v>72</v>
      </c>
      <c r="E14" s="30">
        <v>90</v>
      </c>
      <c r="F14" s="30" t="b">
        <v>1</v>
      </c>
      <c r="G14" s="30" t="s">
        <v>9</v>
      </c>
    </row>
    <row r="15" spans="2:7" ht="16" x14ac:dyDescent="0.2">
      <c r="B15" s="29">
        <v>13</v>
      </c>
      <c r="C15" s="30" t="s">
        <v>31</v>
      </c>
      <c r="D15" s="30">
        <v>81</v>
      </c>
      <c r="E15" s="30">
        <v>75</v>
      </c>
      <c r="F15" s="30" t="b">
        <v>1</v>
      </c>
      <c r="G15" s="30" t="s">
        <v>8</v>
      </c>
    </row>
    <row r="16" spans="2:7" ht="16" x14ac:dyDescent="0.2">
      <c r="B16" s="29">
        <v>14</v>
      </c>
      <c r="C16" s="30" t="s">
        <v>32</v>
      </c>
      <c r="D16" s="30">
        <v>71</v>
      </c>
      <c r="E16" s="30">
        <v>80</v>
      </c>
      <c r="F16" s="30" t="b">
        <v>1</v>
      </c>
      <c r="G16" s="30" t="s">
        <v>9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V34"/>
  <sheetViews>
    <sheetView tabSelected="1" topLeftCell="A13" zoomScale="170" zoomScaleNormal="115" workbookViewId="0">
      <selection activeCell="K33" sqref="K33:K34"/>
    </sheetView>
  </sheetViews>
  <sheetFormatPr baseColWidth="10" defaultColWidth="8.83203125" defaultRowHeight="15" x14ac:dyDescent="0.2"/>
  <cols>
    <col min="1" max="1" width="6.5" customWidth="1"/>
    <col min="8" max="8" width="9" bestFit="1" customWidth="1"/>
    <col min="10" max="10" width="11.5" bestFit="1" customWidth="1"/>
    <col min="11" max="11" width="15.5" customWidth="1"/>
    <col min="14" max="14" width="11" customWidth="1"/>
    <col min="16" max="16" width="13.6640625" bestFit="1" customWidth="1"/>
    <col min="18" max="18" width="14.5" customWidth="1"/>
    <col min="19" max="19" width="9.5" bestFit="1" customWidth="1"/>
    <col min="21" max="21" width="12" bestFit="1" customWidth="1"/>
    <col min="22" max="22" width="13" customWidth="1"/>
  </cols>
  <sheetData>
    <row r="2" spans="1:22" x14ac:dyDescent="0.2">
      <c r="H2" s="3"/>
      <c r="I2" s="3"/>
      <c r="J2" s="14" t="s">
        <v>19</v>
      </c>
      <c r="K2" s="21" t="s">
        <v>22</v>
      </c>
      <c r="L2" s="21" t="s">
        <v>23</v>
      </c>
      <c r="M2" s="16" t="s">
        <v>20</v>
      </c>
      <c r="N2" s="16" t="s">
        <v>21</v>
      </c>
      <c r="P2" s="3"/>
      <c r="Q2" s="3"/>
      <c r="R2" s="14" t="s">
        <v>19</v>
      </c>
      <c r="S2" s="14" t="s">
        <v>22</v>
      </c>
      <c r="T2" s="15" t="s">
        <v>23</v>
      </c>
      <c r="U2" s="16" t="s">
        <v>20</v>
      </c>
      <c r="V2" s="17" t="s">
        <v>21</v>
      </c>
    </row>
    <row r="3" spans="1:22" ht="16" thickBot="1" x14ac:dyDescent="0.25">
      <c r="A3" s="14" t="s">
        <v>27</v>
      </c>
      <c r="B3" s="14" t="s">
        <v>10</v>
      </c>
      <c r="C3" s="14" t="s">
        <v>11</v>
      </c>
      <c r="D3" s="14" t="s">
        <v>12</v>
      </c>
      <c r="E3" s="14" t="s">
        <v>13</v>
      </c>
      <c r="F3" s="16" t="s">
        <v>14</v>
      </c>
      <c r="H3" s="28" t="s">
        <v>15</v>
      </c>
      <c r="I3" s="5"/>
      <c r="J3" s="5">
        <v>14</v>
      </c>
      <c r="K3" s="22">
        <v>4</v>
      </c>
      <c r="L3" s="22">
        <v>10</v>
      </c>
      <c r="M3" s="5">
        <f>(-K3/J3*LOG((K3/J3),2)+(-L3/J3*LOG((L3/J3),2)))</f>
        <v>0.863120568566631</v>
      </c>
      <c r="N3" s="5"/>
      <c r="P3" s="5" t="s">
        <v>26</v>
      </c>
      <c r="Q3" s="5"/>
      <c r="R3" s="5">
        <v>7</v>
      </c>
      <c r="S3" s="5">
        <v>4</v>
      </c>
      <c r="T3" s="8">
        <v>3</v>
      </c>
      <c r="U3" s="5">
        <f>(-S3/R3*LOG((S3/R3),2))+(-T3/R3*LOG((T3/R3),2))</f>
        <v>0.98522813603425163</v>
      </c>
      <c r="V3" s="10"/>
    </row>
    <row r="4" spans="1:22" ht="16" thickTop="1" x14ac:dyDescent="0.2">
      <c r="A4" s="26">
        <v>1</v>
      </c>
      <c r="B4" s="25" t="s">
        <v>0</v>
      </c>
      <c r="C4" s="25" t="s">
        <v>3</v>
      </c>
      <c r="D4" s="25" t="s">
        <v>6</v>
      </c>
      <c r="E4" s="25" t="b">
        <v>0</v>
      </c>
      <c r="F4" s="25" t="s">
        <v>8</v>
      </c>
      <c r="H4" s="19" t="s">
        <v>10</v>
      </c>
      <c r="I4" s="4"/>
      <c r="J4" s="4"/>
      <c r="K4" s="23"/>
      <c r="L4" s="23"/>
      <c r="M4" s="4"/>
      <c r="N4" s="4">
        <f>M3-((J5/J3*M5)+(J6/J3*M6)+(J7/J3*M7))</f>
        <v>0.2585210366587628</v>
      </c>
      <c r="P4" s="6" t="s">
        <v>10</v>
      </c>
      <c r="Q4" s="4"/>
      <c r="R4" s="4"/>
      <c r="S4" s="4"/>
      <c r="T4" s="9"/>
      <c r="U4" s="4"/>
      <c r="V4" s="13">
        <f>U3-((R5/R3*U5)+(R6/R3*U6)+(R7/R3*U7))</f>
        <v>0.69951385031996594</v>
      </c>
    </row>
    <row r="5" spans="1:22" x14ac:dyDescent="0.2">
      <c r="A5" s="26">
        <v>2</v>
      </c>
      <c r="B5" s="25" t="s">
        <v>0</v>
      </c>
      <c r="C5" s="25" t="s">
        <v>3</v>
      </c>
      <c r="D5" s="25" t="s">
        <v>6</v>
      </c>
      <c r="E5" s="25" t="b">
        <v>1</v>
      </c>
      <c r="F5" s="25" t="s">
        <v>8</v>
      </c>
      <c r="H5" s="3"/>
      <c r="I5" s="3" t="s">
        <v>16</v>
      </c>
      <c r="J5" s="3">
        <v>4</v>
      </c>
      <c r="K5" s="24">
        <v>0</v>
      </c>
      <c r="L5" s="24">
        <v>4</v>
      </c>
      <c r="M5" s="3">
        <v>0</v>
      </c>
      <c r="N5" s="3"/>
      <c r="P5" s="3"/>
      <c r="Q5" s="3" t="s">
        <v>16</v>
      </c>
      <c r="R5" s="3">
        <v>2</v>
      </c>
      <c r="S5" s="3">
        <v>0</v>
      </c>
      <c r="T5" s="7">
        <v>2</v>
      </c>
      <c r="U5" s="3">
        <v>0</v>
      </c>
      <c r="V5" s="12"/>
    </row>
    <row r="6" spans="1:22" x14ac:dyDescent="0.2">
      <c r="A6" s="26">
        <v>3</v>
      </c>
      <c r="B6" s="25" t="s">
        <v>1</v>
      </c>
      <c r="C6" s="25" t="s">
        <v>3</v>
      </c>
      <c r="D6" s="25" t="s">
        <v>6</v>
      </c>
      <c r="E6" s="25" t="b">
        <v>0</v>
      </c>
      <c r="F6" s="25" t="s">
        <v>9</v>
      </c>
      <c r="H6" s="3"/>
      <c r="I6" s="3" t="s">
        <v>17</v>
      </c>
      <c r="J6" s="3">
        <v>5</v>
      </c>
      <c r="K6" s="24">
        <v>1</v>
      </c>
      <c r="L6" s="24">
        <v>4</v>
      </c>
      <c r="M6" s="3">
        <f>(-K6/J6*LOG((K6/J6),2)+(-L6/J6*LOG((L6/J6),2)))</f>
        <v>0.72192809488736231</v>
      </c>
      <c r="N6" s="3"/>
      <c r="P6" s="3"/>
      <c r="Q6" s="3" t="s">
        <v>17</v>
      </c>
      <c r="R6" s="3">
        <v>2</v>
      </c>
      <c r="S6" s="3">
        <v>1</v>
      </c>
      <c r="T6" s="7">
        <v>1</v>
      </c>
      <c r="U6" s="3">
        <f t="shared" ref="U6:U14" si="0">(-S6/R6*LOG((S6/R6),2))+(-T6/R6*LOG((T6/R6),2))</f>
        <v>1</v>
      </c>
      <c r="V6" s="12"/>
    </row>
    <row r="7" spans="1:22" ht="16" thickBot="1" x14ac:dyDescent="0.25">
      <c r="A7" s="26">
        <v>4</v>
      </c>
      <c r="B7" s="27" t="s">
        <v>2</v>
      </c>
      <c r="C7" s="25" t="s">
        <v>4</v>
      </c>
      <c r="D7" s="27" t="s">
        <v>6</v>
      </c>
      <c r="E7" s="25" t="b">
        <v>0</v>
      </c>
      <c r="F7" s="25" t="s">
        <v>9</v>
      </c>
      <c r="H7" s="5"/>
      <c r="I7" s="5" t="s">
        <v>0</v>
      </c>
      <c r="J7" s="5">
        <v>5</v>
      </c>
      <c r="K7" s="22">
        <v>3</v>
      </c>
      <c r="L7" s="22">
        <v>2</v>
      </c>
      <c r="M7" s="5">
        <f>(-K7/J7*LOG((K7/J7),2)+(-L7/J7*LOG((L7/J7),2)))</f>
        <v>0.97095059445466858</v>
      </c>
      <c r="N7" s="5"/>
      <c r="P7" s="5"/>
      <c r="Q7" s="5" t="s">
        <v>0</v>
      </c>
      <c r="R7" s="5">
        <v>3</v>
      </c>
      <c r="S7" s="5">
        <v>3</v>
      </c>
      <c r="T7" s="8">
        <v>0</v>
      </c>
      <c r="U7" s="5">
        <v>0</v>
      </c>
      <c r="V7" s="10"/>
    </row>
    <row r="8" spans="1:22" ht="16" thickTop="1" x14ac:dyDescent="0.2">
      <c r="A8" s="26">
        <v>5</v>
      </c>
      <c r="B8" s="25" t="s">
        <v>2</v>
      </c>
      <c r="C8" s="25" t="s">
        <v>5</v>
      </c>
      <c r="D8" s="25" t="s">
        <v>7</v>
      </c>
      <c r="E8" s="25" t="b">
        <v>0</v>
      </c>
      <c r="F8" s="25" t="s">
        <v>9</v>
      </c>
      <c r="H8" s="19" t="s">
        <v>11</v>
      </c>
      <c r="I8" s="4"/>
      <c r="J8" s="4"/>
      <c r="K8" s="23"/>
      <c r="L8" s="23"/>
      <c r="M8" s="4"/>
      <c r="N8" s="4">
        <f>M3-((J9/J3*M9)+(J10/J3*M10)+(J11/J3*M11))</f>
        <v>0.18385092540042125</v>
      </c>
      <c r="P8" s="4" t="s">
        <v>11</v>
      </c>
      <c r="Q8" s="4"/>
      <c r="R8" s="4"/>
      <c r="S8" s="4"/>
      <c r="T8" s="9"/>
      <c r="U8" s="4"/>
      <c r="V8" s="11">
        <f>U3-((R9/R3*U9)+(R10/R3*U10)+(R11/R3*U11))</f>
        <v>2.0244207153756189E-2</v>
      </c>
    </row>
    <row r="9" spans="1:22" x14ac:dyDescent="0.2">
      <c r="A9" s="26">
        <v>6</v>
      </c>
      <c r="B9" s="25" t="s">
        <v>2</v>
      </c>
      <c r="C9" s="25" t="s">
        <v>5</v>
      </c>
      <c r="D9" s="25" t="s">
        <v>7</v>
      </c>
      <c r="E9" s="25" t="b">
        <v>1</v>
      </c>
      <c r="F9" s="25" t="s">
        <v>9</v>
      </c>
      <c r="H9" s="3"/>
      <c r="I9" s="3" t="s">
        <v>18</v>
      </c>
      <c r="J9" s="3">
        <v>4</v>
      </c>
      <c r="K9" s="24">
        <v>0</v>
      </c>
      <c r="L9" s="24">
        <v>4</v>
      </c>
      <c r="M9" s="3">
        <v>0</v>
      </c>
      <c r="N9" s="3"/>
      <c r="P9" s="3"/>
      <c r="Q9" s="3" t="s">
        <v>18</v>
      </c>
      <c r="R9" s="3">
        <v>0</v>
      </c>
      <c r="S9" s="3">
        <v>0</v>
      </c>
      <c r="T9" s="7">
        <v>0</v>
      </c>
      <c r="U9" s="3">
        <v>0</v>
      </c>
      <c r="V9" s="12"/>
    </row>
    <row r="10" spans="1:22" x14ac:dyDescent="0.2">
      <c r="A10" s="26">
        <v>7</v>
      </c>
      <c r="B10" s="25" t="s">
        <v>1</v>
      </c>
      <c r="C10" s="25" t="s">
        <v>5</v>
      </c>
      <c r="D10" s="25" t="s">
        <v>7</v>
      </c>
      <c r="E10" s="25" t="b">
        <v>1</v>
      </c>
      <c r="F10" s="25" t="s">
        <v>9</v>
      </c>
      <c r="H10" s="3"/>
      <c r="I10" s="3" t="s">
        <v>3</v>
      </c>
      <c r="J10" s="3">
        <v>4</v>
      </c>
      <c r="K10" s="24">
        <v>2</v>
      </c>
      <c r="L10" s="24">
        <v>2</v>
      </c>
      <c r="M10" s="3">
        <f t="shared" ref="M10:M17" si="1">(-K10/J10*LOG((K10/J10),2)+(-L10/J10*LOG((L10/J10),2)))</f>
        <v>1</v>
      </c>
      <c r="N10" s="3"/>
      <c r="P10" s="3"/>
      <c r="Q10" s="3" t="s">
        <v>3</v>
      </c>
      <c r="R10" s="3">
        <v>3</v>
      </c>
      <c r="S10" s="3">
        <v>2</v>
      </c>
      <c r="T10" s="7">
        <v>1</v>
      </c>
      <c r="U10" s="3">
        <f t="shared" si="0"/>
        <v>0.91829583405448956</v>
      </c>
      <c r="V10" s="12"/>
    </row>
    <row r="11" spans="1:22" ht="16" thickBot="1" x14ac:dyDescent="0.25">
      <c r="A11" s="26">
        <v>8</v>
      </c>
      <c r="B11" s="25" t="s">
        <v>0</v>
      </c>
      <c r="C11" s="25" t="s">
        <v>4</v>
      </c>
      <c r="D11" s="25" t="s">
        <v>6</v>
      </c>
      <c r="E11" s="25" t="b">
        <v>0</v>
      </c>
      <c r="F11" s="25" t="s">
        <v>8</v>
      </c>
      <c r="H11" s="5"/>
      <c r="I11" s="5" t="s">
        <v>4</v>
      </c>
      <c r="J11" s="5">
        <v>6</v>
      </c>
      <c r="K11" s="22">
        <v>2</v>
      </c>
      <c r="L11" s="22">
        <v>4</v>
      </c>
      <c r="M11" s="5">
        <f t="shared" si="1"/>
        <v>0.91829583405448956</v>
      </c>
      <c r="N11" s="5"/>
      <c r="P11" s="5"/>
      <c r="Q11" s="5" t="s">
        <v>4</v>
      </c>
      <c r="R11" s="5">
        <v>4</v>
      </c>
      <c r="S11" s="5">
        <v>2</v>
      </c>
      <c r="T11" s="8">
        <v>2</v>
      </c>
      <c r="U11" s="5">
        <f t="shared" si="0"/>
        <v>1</v>
      </c>
      <c r="V11" s="10"/>
    </row>
    <row r="12" spans="1:22" ht="16" thickTop="1" x14ac:dyDescent="0.2">
      <c r="A12" s="26">
        <v>9</v>
      </c>
      <c r="B12" s="25" t="s">
        <v>0</v>
      </c>
      <c r="C12" s="25" t="s">
        <v>5</v>
      </c>
      <c r="D12" s="25" t="s">
        <v>7</v>
      </c>
      <c r="E12" s="25" t="b">
        <v>0</v>
      </c>
      <c r="F12" s="25" t="s">
        <v>9</v>
      </c>
      <c r="H12" s="20" t="s">
        <v>12</v>
      </c>
      <c r="I12" s="4"/>
      <c r="J12" s="4"/>
      <c r="K12" s="23"/>
      <c r="L12" s="23"/>
      <c r="M12" s="4"/>
      <c r="N12" s="6">
        <f>M3-((J13/J3*M13)+(J14/J3*M14))</f>
        <v>0.37050650054950518</v>
      </c>
      <c r="P12" s="4" t="s">
        <v>13</v>
      </c>
      <c r="Q12" s="4"/>
      <c r="R12" s="4"/>
      <c r="S12" s="4"/>
      <c r="T12" s="9"/>
      <c r="U12" s="4"/>
      <c r="V12" s="11">
        <f>U3-((R13/R3*U13)+(R14/R3*U14))</f>
        <v>2.0244207153756189E-2</v>
      </c>
    </row>
    <row r="13" spans="1:22" x14ac:dyDescent="0.2">
      <c r="A13" s="26">
        <v>10</v>
      </c>
      <c r="B13" s="25" t="s">
        <v>2</v>
      </c>
      <c r="C13" s="25" t="s">
        <v>4</v>
      </c>
      <c r="D13" s="25" t="s">
        <v>7</v>
      </c>
      <c r="E13" s="25" t="b">
        <v>0</v>
      </c>
      <c r="F13" s="25" t="s">
        <v>9</v>
      </c>
      <c r="H13" s="3"/>
      <c r="I13" s="3" t="s">
        <v>6</v>
      </c>
      <c r="J13" s="3">
        <v>7</v>
      </c>
      <c r="K13" s="24">
        <v>4</v>
      </c>
      <c r="L13" s="24">
        <v>3</v>
      </c>
      <c r="M13" s="3">
        <f t="shared" si="1"/>
        <v>0.98522813603425163</v>
      </c>
      <c r="N13" s="3"/>
      <c r="P13" s="3"/>
      <c r="Q13" s="3" t="b">
        <v>0</v>
      </c>
      <c r="R13" s="3">
        <v>4</v>
      </c>
      <c r="S13" s="3">
        <v>2</v>
      </c>
      <c r="T13" s="7">
        <v>2</v>
      </c>
      <c r="U13" s="3">
        <f t="shared" si="0"/>
        <v>1</v>
      </c>
      <c r="V13" s="12"/>
    </row>
    <row r="14" spans="1:22" ht="16" thickBot="1" x14ac:dyDescent="0.25">
      <c r="A14" s="26">
        <v>11</v>
      </c>
      <c r="B14" s="25" t="s">
        <v>0</v>
      </c>
      <c r="C14" s="25" t="s">
        <v>4</v>
      </c>
      <c r="D14" s="25" t="s">
        <v>7</v>
      </c>
      <c r="E14" s="25" t="b">
        <v>1</v>
      </c>
      <c r="F14" s="25" t="s">
        <v>9</v>
      </c>
      <c r="H14" s="5"/>
      <c r="I14" s="5" t="s">
        <v>7</v>
      </c>
      <c r="J14" s="5">
        <v>7</v>
      </c>
      <c r="K14" s="22">
        <v>0</v>
      </c>
      <c r="L14" s="22">
        <v>7</v>
      </c>
      <c r="M14" s="5">
        <v>0</v>
      </c>
      <c r="N14" s="5"/>
      <c r="P14" s="3"/>
      <c r="Q14" s="3" t="b">
        <v>1</v>
      </c>
      <c r="R14" s="3">
        <v>3</v>
      </c>
      <c r="S14" s="3">
        <v>2</v>
      </c>
      <c r="T14" s="7">
        <v>1</v>
      </c>
      <c r="U14" s="3">
        <f t="shared" si="0"/>
        <v>0.91829583405448956</v>
      </c>
      <c r="V14" s="12"/>
    </row>
    <row r="15" spans="1:22" ht="16" thickTop="1" x14ac:dyDescent="0.2">
      <c r="A15" s="26">
        <v>12</v>
      </c>
      <c r="B15" s="25" t="s">
        <v>1</v>
      </c>
      <c r="C15" s="25" t="s">
        <v>4</v>
      </c>
      <c r="D15" s="25" t="s">
        <v>6</v>
      </c>
      <c r="E15" s="25" t="b">
        <v>1</v>
      </c>
      <c r="F15" s="25" t="s">
        <v>9</v>
      </c>
      <c r="H15" s="19" t="s">
        <v>13</v>
      </c>
      <c r="I15" s="4"/>
      <c r="J15" s="4"/>
      <c r="K15" s="23"/>
      <c r="L15" s="23"/>
      <c r="M15" s="4"/>
      <c r="N15" s="4">
        <f>M3-((J16/J3*M16)+(J17/J3*M17))</f>
        <v>5.9777114237739015E-3</v>
      </c>
    </row>
    <row r="16" spans="1:22" x14ac:dyDescent="0.2">
      <c r="A16" s="26">
        <v>13</v>
      </c>
      <c r="B16" s="25" t="s">
        <v>1</v>
      </c>
      <c r="C16" s="25" t="s">
        <v>3</v>
      </c>
      <c r="D16" s="25" t="s">
        <v>7</v>
      </c>
      <c r="E16" s="25" t="b">
        <v>0</v>
      </c>
      <c r="F16" s="25" t="s">
        <v>9</v>
      </c>
      <c r="H16" s="3"/>
      <c r="I16" s="3" t="b">
        <v>0</v>
      </c>
      <c r="J16" s="3">
        <v>8</v>
      </c>
      <c r="K16" s="24">
        <v>2</v>
      </c>
      <c r="L16" s="24">
        <v>6</v>
      </c>
      <c r="M16" s="3">
        <f t="shared" si="1"/>
        <v>0.81127812445913283</v>
      </c>
      <c r="N16" s="3"/>
      <c r="R16" t="s">
        <v>25</v>
      </c>
    </row>
    <row r="17" spans="1:22" x14ac:dyDescent="0.2">
      <c r="A17" s="26">
        <v>14</v>
      </c>
      <c r="B17" s="27" t="s">
        <v>2</v>
      </c>
      <c r="C17" s="25" t="s">
        <v>4</v>
      </c>
      <c r="D17" s="27" t="s">
        <v>6</v>
      </c>
      <c r="E17" s="25" t="b">
        <v>1</v>
      </c>
      <c r="F17" s="25" t="s">
        <v>8</v>
      </c>
      <c r="H17" s="3"/>
      <c r="I17" s="3" t="b">
        <v>1</v>
      </c>
      <c r="J17" s="3">
        <v>6</v>
      </c>
      <c r="K17" s="24">
        <v>4</v>
      </c>
      <c r="L17" s="24">
        <v>2</v>
      </c>
      <c r="M17" s="3">
        <f t="shared" si="1"/>
        <v>0.91829583405448956</v>
      </c>
      <c r="N17" s="3"/>
    </row>
    <row r="18" spans="1:22" ht="28.5" customHeight="1" thickBot="1" x14ac:dyDescent="0.25">
      <c r="J18" t="s">
        <v>24</v>
      </c>
      <c r="P18" s="18" t="s">
        <v>30</v>
      </c>
      <c r="Q18" s="18"/>
      <c r="R18" s="14" t="s">
        <v>19</v>
      </c>
      <c r="S18" s="14" t="s">
        <v>22</v>
      </c>
      <c r="T18" s="15" t="s">
        <v>23</v>
      </c>
      <c r="U18" s="16" t="s">
        <v>20</v>
      </c>
      <c r="V18" s="17" t="s">
        <v>21</v>
      </c>
    </row>
    <row r="19" spans="1:22" ht="15.75" customHeight="1" thickTop="1" x14ac:dyDescent="0.2">
      <c r="P19" s="31" t="s">
        <v>29</v>
      </c>
      <c r="Q19" s="31"/>
      <c r="R19" s="31">
        <v>2</v>
      </c>
      <c r="S19" s="31">
        <v>1</v>
      </c>
      <c r="T19" s="31">
        <v>1</v>
      </c>
      <c r="U19" s="31">
        <v>1</v>
      </c>
      <c r="V19" s="31"/>
    </row>
    <row r="20" spans="1:22" ht="15.75" customHeight="1" x14ac:dyDescent="0.2">
      <c r="P20" s="32"/>
      <c r="Q20" s="32"/>
      <c r="R20" s="32"/>
      <c r="S20" s="32"/>
      <c r="T20" s="32"/>
      <c r="U20" s="32"/>
      <c r="V20" s="32"/>
    </row>
    <row r="21" spans="1:22" x14ac:dyDescent="0.2">
      <c r="D21" t="s">
        <v>35</v>
      </c>
      <c r="P21" s="32"/>
      <c r="Q21" s="32"/>
      <c r="R21" s="32"/>
      <c r="S21" s="32"/>
      <c r="T21" s="32"/>
      <c r="U21" s="32"/>
      <c r="V21" s="32"/>
    </row>
    <row r="22" spans="1:22" ht="16" thickBot="1" x14ac:dyDescent="0.25">
      <c r="C22" t="s">
        <v>7</v>
      </c>
      <c r="E22" t="s">
        <v>39</v>
      </c>
      <c r="P22" s="33"/>
      <c r="Q22" s="33"/>
      <c r="R22" s="33"/>
      <c r="S22" s="33"/>
      <c r="T22" s="33"/>
      <c r="U22" s="33"/>
      <c r="V22" s="33"/>
    </row>
    <row r="23" spans="1:22" ht="16" thickTop="1" x14ac:dyDescent="0.2">
      <c r="C23" t="s">
        <v>38</v>
      </c>
      <c r="E23" t="s">
        <v>33</v>
      </c>
      <c r="P23" s="4" t="s">
        <v>11</v>
      </c>
      <c r="Q23" s="4"/>
      <c r="R23" s="4"/>
      <c r="S23" s="4"/>
      <c r="T23" s="9"/>
      <c r="U23" s="4"/>
      <c r="V23" s="11">
        <v>0</v>
      </c>
    </row>
    <row r="24" spans="1:22" x14ac:dyDescent="0.2">
      <c r="F24" t="s">
        <v>16</v>
      </c>
      <c r="P24" s="3"/>
      <c r="Q24" s="3" t="s">
        <v>5</v>
      </c>
      <c r="R24" s="3">
        <v>0</v>
      </c>
      <c r="S24" s="3">
        <v>0</v>
      </c>
      <c r="T24" s="7">
        <v>0</v>
      </c>
      <c r="U24" s="3">
        <v>0</v>
      </c>
      <c r="V24" s="12"/>
    </row>
    <row r="25" spans="1:22" x14ac:dyDescent="0.2">
      <c r="F25" t="s">
        <v>17</v>
      </c>
      <c r="P25" s="3"/>
      <c r="Q25" s="3" t="s">
        <v>3</v>
      </c>
      <c r="R25" s="3">
        <v>0</v>
      </c>
      <c r="S25" s="3">
        <v>0</v>
      </c>
      <c r="T25" s="7">
        <v>0</v>
      </c>
      <c r="U25" s="3">
        <v>0</v>
      </c>
      <c r="V25" s="12"/>
    </row>
    <row r="26" spans="1:22" ht="16" thickBot="1" x14ac:dyDescent="0.25">
      <c r="F26" t="s">
        <v>0</v>
      </c>
      <c r="P26" s="5"/>
      <c r="Q26" s="5" t="s">
        <v>4</v>
      </c>
      <c r="R26" s="5">
        <v>2</v>
      </c>
      <c r="S26" s="5">
        <v>1</v>
      </c>
      <c r="T26" s="8">
        <v>1</v>
      </c>
      <c r="U26" s="5">
        <v>1</v>
      </c>
      <c r="V26" s="10"/>
    </row>
    <row r="27" spans="1:22" ht="16" thickTop="1" x14ac:dyDescent="0.2">
      <c r="P27" s="6" t="s">
        <v>13</v>
      </c>
      <c r="Q27" s="4"/>
      <c r="R27" s="4"/>
      <c r="S27" s="4"/>
      <c r="T27" s="9"/>
      <c r="U27" s="4"/>
      <c r="V27" s="13">
        <v>1</v>
      </c>
    </row>
    <row r="28" spans="1:22" x14ac:dyDescent="0.2">
      <c r="P28" s="3"/>
      <c r="Q28" s="3" t="b">
        <v>0</v>
      </c>
      <c r="R28" s="3">
        <v>1</v>
      </c>
      <c r="S28" s="3">
        <v>0</v>
      </c>
      <c r="T28" s="7">
        <v>1</v>
      </c>
      <c r="U28" s="3">
        <v>0</v>
      </c>
      <c r="V28" s="12"/>
    </row>
    <row r="29" spans="1:22" ht="16" thickBot="1" x14ac:dyDescent="0.25">
      <c r="P29" s="5"/>
      <c r="Q29" s="5" t="b">
        <v>1</v>
      </c>
      <c r="R29" s="5">
        <v>1</v>
      </c>
      <c r="S29" s="5">
        <v>1</v>
      </c>
      <c r="T29" s="8">
        <v>0</v>
      </c>
      <c r="U29" s="5">
        <v>0</v>
      </c>
      <c r="V29" s="10"/>
    </row>
    <row r="30" spans="1:22" ht="16" thickTop="1" x14ac:dyDescent="0.2"/>
    <row r="31" spans="1:22" x14ac:dyDescent="0.2">
      <c r="R31" t="s">
        <v>28</v>
      </c>
    </row>
    <row r="32" spans="1:22" x14ac:dyDescent="0.2">
      <c r="I32" t="s">
        <v>40</v>
      </c>
      <c r="J32" t="s">
        <v>41</v>
      </c>
      <c r="K32" t="s">
        <v>42</v>
      </c>
    </row>
    <row r="33" spans="9:11" x14ac:dyDescent="0.2">
      <c r="I33">
        <v>2</v>
      </c>
      <c r="J33">
        <v>1</v>
      </c>
      <c r="K33">
        <v>5</v>
      </c>
    </row>
    <row r="34" spans="9:11" x14ac:dyDescent="0.2">
      <c r="I34">
        <v>4</v>
      </c>
      <c r="J34">
        <v>3</v>
      </c>
      <c r="K34">
        <v>7</v>
      </c>
    </row>
  </sheetData>
  <mergeCells count="7">
    <mergeCell ref="U19:U22"/>
    <mergeCell ref="V19:V22"/>
    <mergeCell ref="P19:P22"/>
    <mergeCell ref="Q19:Q22"/>
    <mergeCell ref="R19:R22"/>
    <mergeCell ref="S19:S22"/>
    <mergeCell ref="T19:T22"/>
  </mergeCells>
  <pageMargins left="0.7" right="0.7" top="0.75" bottom="0.75" header="0.3" footer="0.3"/>
  <pageSetup orientation="portrait" horizontalDpi="4294967292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Main Tenis</vt:lpstr>
      <vt:lpstr>Data Main Golf</vt:lpstr>
      <vt:lpstr>Hitung Entropy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ardytha</dc:creator>
  <cp:lastModifiedBy>Research Team</cp:lastModifiedBy>
  <dcterms:created xsi:type="dcterms:W3CDTF">2013-09-26T02:12:58Z</dcterms:created>
  <dcterms:modified xsi:type="dcterms:W3CDTF">2026-04-21T04:16:11Z</dcterms:modified>
</cp:coreProperties>
</file>